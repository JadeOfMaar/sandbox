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itHub\sandbox\USIEngineTuner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4" i="1"/>
  <c r="C16" i="1"/>
  <c r="C17" i="1" s="1"/>
  <c r="C15" i="1"/>
  <c r="D16" i="1"/>
  <c r="I16" i="1" s="1"/>
  <c r="D15" i="1"/>
  <c r="I15" i="1" s="1"/>
  <c r="N16" i="1"/>
  <c r="N15" i="1"/>
  <c r="N14" i="1"/>
  <c r="E14" i="1"/>
  <c r="H15" i="1"/>
  <c r="J15" i="1" s="1"/>
  <c r="H16" i="1"/>
  <c r="J16" i="1" s="1"/>
  <c r="H14" i="1"/>
  <c r="J14" i="1" s="1"/>
  <c r="N5" i="1"/>
  <c r="N6" i="1"/>
  <c r="N7" i="1"/>
  <c r="N4" i="1"/>
  <c r="E4" i="1"/>
  <c r="H5" i="1"/>
  <c r="J5" i="1" s="1"/>
  <c r="H6" i="1"/>
  <c r="J6" i="1" s="1"/>
  <c r="H7" i="1"/>
  <c r="H4" i="1"/>
  <c r="C5" i="1" s="1"/>
  <c r="D7" i="1"/>
  <c r="I7" i="1" s="1"/>
  <c r="D6" i="1"/>
  <c r="I6" i="1" s="1"/>
  <c r="D5" i="1"/>
  <c r="I5" i="1" s="1"/>
  <c r="C7" i="1" l="1"/>
  <c r="C8" i="1" s="1"/>
  <c r="J7" i="1"/>
  <c r="C6" i="1"/>
  <c r="J4" i="1"/>
  <c r="B16" i="1"/>
  <c r="E16" i="1" s="1"/>
  <c r="B15" i="1"/>
  <c r="E15" i="1" s="1"/>
  <c r="B7" i="1"/>
  <c r="E7" i="1" s="1"/>
  <c r="B6" i="1"/>
  <c r="E6" i="1" s="1"/>
  <c r="B5" i="1"/>
  <c r="E5" i="1" s="1"/>
</calcChain>
</file>

<file path=xl/sharedStrings.xml><?xml version="1.0" encoding="utf-8"?>
<sst xmlns="http://schemas.openxmlformats.org/spreadsheetml/2006/main" count="36" uniqueCount="16">
  <si>
    <t>Size</t>
  </si>
  <si>
    <t>Mass</t>
  </si>
  <si>
    <t>Thrust</t>
  </si>
  <si>
    <t>TWR</t>
  </si>
  <si>
    <t>Vol</t>
  </si>
  <si>
    <t>d</t>
  </si>
  <si>
    <t>h</t>
  </si>
  <si>
    <t>m3</t>
  </si>
  <si>
    <t>Cost</t>
  </si>
  <si>
    <t>Torch</t>
  </si>
  <si>
    <t>Plasmoid</t>
  </si>
  <si>
    <t>power</t>
  </si>
  <si>
    <t>System Heat</t>
  </si>
  <si>
    <t>volume</t>
  </si>
  <si>
    <t>entryCost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</si>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</sst>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2" applyNumberFormat="0" applyAlignment="0" applyProtection="0"/>
    <xf numFmtId="0" fontId="1" fillId="4" borderId="3" applyNumberFormat="0" applyFont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4" fillId="3" borderId="2" xfId="3"/>
    <xf numFmtId="0" fontId="5" fillId="0" borderId="0" xfId="5"/>
    <xf numFmtId="0" fontId="3" fillId="2" borderId="2" xfId="2"/>
    <xf numFmtId="1" fontId="4" fillId="3" borderId="2" xfId="3" applyNumberFormat="1"/>
    <xf numFmtId="166" fontId="4" fillId="3" borderId="2" xfId="3" applyNumberFormat="1"/>
    <xf numFmtId="2" fontId="4" fillId="3" borderId="2" xfId="3" applyNumberFormat="1"/>
    <xf numFmtId="0" fontId="0" fillId="4" borderId="3" xfId="4" applyFont="1"/>
    <xf numFmtId="166" fontId="0" fillId="4" borderId="3" xfId="4" applyNumberFormat="1" applyFont="1"/>
    <xf numFmtId="0" fontId="2" fillId="0" borderId="1" xfId="1"/>
  </cellXfs>
  <cellStyles count="6">
    <cellStyle name="Calculation" xfId="3" builtinId="22"/>
    <cellStyle name="Explanatory Text" xfId="5" builtinId="53"/>
    <cellStyle name="Heading 1" xfId="1" builtinId="16"/>
    <cellStyle name="Input" xfId="2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D20" sqref="D20"/>
    </sheetView>
  </sheetViews>
  <sheetFormatPr defaultRowHeight="15" x14ac:dyDescent="0.25"/>
  <cols>
    <col min="1" max="10" width="12" customWidth="1"/>
  </cols>
  <sheetData>
    <row r="1" spans="1:14" ht="20.25" thickBot="1" x14ac:dyDescent="0.3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4" ht="15.75" thickTop="1" x14ac:dyDescent="0.25">
      <c r="A2" t="s">
        <v>0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I2" t="s">
        <v>12</v>
      </c>
      <c r="L2" s="7" t="s">
        <v>15</v>
      </c>
      <c r="M2" s="7"/>
      <c r="N2" s="7"/>
    </row>
    <row r="3" spans="1:14" x14ac:dyDescent="0.25">
      <c r="F3" s="2" t="s">
        <v>5</v>
      </c>
      <c r="G3" s="2" t="s">
        <v>6</v>
      </c>
      <c r="H3" s="2" t="s">
        <v>7</v>
      </c>
      <c r="I3" s="2" t="s">
        <v>11</v>
      </c>
      <c r="J3" s="2" t="s">
        <v>13</v>
      </c>
      <c r="L3" s="7" t="s">
        <v>1</v>
      </c>
      <c r="M3" s="7" t="s">
        <v>2</v>
      </c>
      <c r="N3" s="7" t="s">
        <v>3</v>
      </c>
    </row>
    <row r="4" spans="1:14" x14ac:dyDescent="0.25">
      <c r="A4">
        <v>1</v>
      </c>
      <c r="B4" s="3">
        <v>4.3</v>
      </c>
      <c r="C4" s="3">
        <v>24600</v>
      </c>
      <c r="D4" s="3">
        <v>900</v>
      </c>
      <c r="E4" s="5">
        <f>D4/(B4*9.80655)</f>
        <v>21.34311512013862</v>
      </c>
      <c r="F4">
        <v>1.25</v>
      </c>
      <c r="G4">
        <v>3.1</v>
      </c>
      <c r="H4" s="6">
        <f>3.14285*((F4/2)^2)*G4</f>
        <v>3.8057949218750005</v>
      </c>
      <c r="I4" s="4">
        <f>50000*(D4/3800)</f>
        <v>11842.105263157893</v>
      </c>
      <c r="J4" s="4">
        <f>H4*200</f>
        <v>761.15898437500005</v>
      </c>
      <c r="L4" s="7">
        <v>1.25</v>
      </c>
      <c r="M4" s="7">
        <v>250</v>
      </c>
      <c r="N4" s="8">
        <f>M4/(L4*9.80655)</f>
        <v>20.394532225910233</v>
      </c>
    </row>
    <row r="5" spans="1:14" x14ac:dyDescent="0.25">
      <c r="A5">
        <v>2</v>
      </c>
      <c r="B5" s="6">
        <f>((H5/$H$4)^0.5)*$B$4</f>
        <v>11.030690324374898</v>
      </c>
      <c r="C5" s="4">
        <f>((H5/$H$4)^0.5)*$C$4</f>
        <v>63105.809762702913</v>
      </c>
      <c r="D5" s="1">
        <f>D4*3</f>
        <v>2700</v>
      </c>
      <c r="E5" s="5">
        <f>D5/(B5*9.80655)</f>
        <v>24.96001401121654</v>
      </c>
      <c r="F5">
        <v>2.5</v>
      </c>
      <c r="G5">
        <v>5.0999999999999996</v>
      </c>
      <c r="H5" s="6">
        <f t="shared" ref="H5:H7" si="0">3.14285*((F5/2)^2)*G5</f>
        <v>25.044585937499999</v>
      </c>
      <c r="I5" s="4">
        <f>50000*(D5/3800)</f>
        <v>35526.315789473687</v>
      </c>
      <c r="J5" s="4">
        <f t="shared" ref="J5:J7" si="1">H5*200</f>
        <v>5008.9171875000002</v>
      </c>
      <c r="L5" s="7">
        <v>3.75</v>
      </c>
      <c r="M5" s="7">
        <v>750</v>
      </c>
      <c r="N5" s="8">
        <f t="shared" ref="N5:N7" si="2">M5/(L5*9.80655)</f>
        <v>20.394532225910233</v>
      </c>
    </row>
    <row r="6" spans="1:14" x14ac:dyDescent="0.25">
      <c r="A6">
        <v>3</v>
      </c>
      <c r="B6" s="6">
        <f>((H6/$H$4)^0.5)*$B$4</f>
        <v>19.384646401960293</v>
      </c>
      <c r="C6" s="4">
        <f t="shared" ref="C6:C7" si="3">((H6/$H$4)^0.5)*$C$4</f>
        <v>110898.20964842402</v>
      </c>
      <c r="D6" s="1">
        <f>D4*6</f>
        <v>5400</v>
      </c>
      <c r="E6" s="5">
        <f>D6/(B6*9.80655)</f>
        <v>28.406624432617509</v>
      </c>
      <c r="F6">
        <v>3.75</v>
      </c>
      <c r="G6">
        <v>7</v>
      </c>
      <c r="H6" s="6">
        <f t="shared" si="0"/>
        <v>77.343574218750007</v>
      </c>
      <c r="I6" s="4">
        <f t="shared" ref="I6:I7" si="4">50000*(D6/3800)</f>
        <v>71052.631578947374</v>
      </c>
      <c r="J6" s="4">
        <f t="shared" si="1"/>
        <v>15468.714843750002</v>
      </c>
      <c r="L6" s="7">
        <v>9.25</v>
      </c>
      <c r="M6" s="7">
        <v>1850</v>
      </c>
      <c r="N6" s="8">
        <f t="shared" si="2"/>
        <v>20.394532225910233</v>
      </c>
    </row>
    <row r="7" spans="1:14" x14ac:dyDescent="0.25">
      <c r="A7">
        <v>4</v>
      </c>
      <c r="B7" s="6">
        <f>((H7/$H$4)^0.5)*$B$4</f>
        <v>34.4</v>
      </c>
      <c r="C7" s="4">
        <f t="shared" si="3"/>
        <v>196800</v>
      </c>
      <c r="D7" s="1">
        <f>ROUND(D4*6*1.333,0)</f>
        <v>7198</v>
      </c>
      <c r="E7" s="5">
        <f>D7/(B7*9.80655)</f>
        <v>21.337186477049691</v>
      </c>
      <c r="F7">
        <v>5</v>
      </c>
      <c r="G7">
        <v>12.4</v>
      </c>
      <c r="H7" s="6">
        <f t="shared" si="0"/>
        <v>243.57087500000003</v>
      </c>
      <c r="I7" s="4">
        <f t="shared" si="4"/>
        <v>94710.526315789481</v>
      </c>
      <c r="J7" s="4">
        <f t="shared" si="1"/>
        <v>48714.175000000003</v>
      </c>
      <c r="L7" s="7">
        <v>45</v>
      </c>
      <c r="M7" s="7">
        <v>9000</v>
      </c>
      <c r="N7" s="8">
        <f t="shared" si="2"/>
        <v>20.394532225910236</v>
      </c>
    </row>
    <row r="8" spans="1:14" x14ac:dyDescent="0.25">
      <c r="A8" s="2" t="s">
        <v>14</v>
      </c>
      <c r="C8" s="1">
        <f>C7*3</f>
        <v>590400</v>
      </c>
    </row>
    <row r="11" spans="1:14" ht="20.25" thickBot="1" x14ac:dyDescent="0.35">
      <c r="A11" s="9" t="s">
        <v>10</v>
      </c>
      <c r="B11" s="9"/>
      <c r="C11" s="9"/>
      <c r="D11" s="9"/>
      <c r="E11" s="9"/>
      <c r="F11" s="9"/>
      <c r="G11" s="9"/>
      <c r="H11" s="9"/>
      <c r="I11" s="9"/>
      <c r="J11" s="9"/>
    </row>
    <row r="12" spans="1:14" ht="15.75" thickTop="1" x14ac:dyDescent="0.25">
      <c r="A12" t="s">
        <v>0</v>
      </c>
      <c r="B12" t="s">
        <v>1</v>
      </c>
      <c r="C12" t="s">
        <v>8</v>
      </c>
      <c r="D12" t="s">
        <v>2</v>
      </c>
      <c r="E12" t="s">
        <v>3</v>
      </c>
      <c r="F12" t="s">
        <v>4</v>
      </c>
      <c r="I12" t="s">
        <v>12</v>
      </c>
      <c r="L12" s="7" t="s">
        <v>15</v>
      </c>
      <c r="M12" s="7"/>
      <c r="N12" s="7"/>
    </row>
    <row r="13" spans="1:14" x14ac:dyDescent="0.25">
      <c r="F13" s="2" t="s">
        <v>5</v>
      </c>
      <c r="G13" s="2" t="s">
        <v>6</v>
      </c>
      <c r="H13" s="2" t="s">
        <v>7</v>
      </c>
      <c r="I13" s="2" t="s">
        <v>11</v>
      </c>
      <c r="J13" s="2" t="s">
        <v>13</v>
      </c>
      <c r="L13" s="7" t="s">
        <v>1</v>
      </c>
      <c r="M13" s="7" t="s">
        <v>2</v>
      </c>
      <c r="N13" s="7" t="s">
        <v>3</v>
      </c>
    </row>
    <row r="14" spans="1:14" x14ac:dyDescent="0.25">
      <c r="A14">
        <v>0</v>
      </c>
      <c r="B14" s="3">
        <v>4.3</v>
      </c>
      <c r="C14" s="3">
        <v>13800</v>
      </c>
      <c r="D14" s="3">
        <v>50</v>
      </c>
      <c r="E14" s="5">
        <f>D14/(B14*9.80655)</f>
        <v>1.1857286177854789</v>
      </c>
      <c r="F14">
        <v>0.625</v>
      </c>
      <c r="G14">
        <v>0.3</v>
      </c>
      <c r="H14" s="6">
        <f>3.14285*((F14/2)^2)*G14</f>
        <v>9.2075683593749999E-2</v>
      </c>
      <c r="I14" s="4">
        <f>54000*(D14/1100)</f>
        <v>2454.5454545454545</v>
      </c>
      <c r="J14" s="4">
        <f t="shared" ref="J14:J16" si="5">H14*200</f>
        <v>18.415136718749999</v>
      </c>
      <c r="L14" s="7">
        <v>0.25</v>
      </c>
      <c r="M14" s="7">
        <v>50</v>
      </c>
      <c r="N14" s="8">
        <f>M14/(L14*9.80655)</f>
        <v>20.394532225910233</v>
      </c>
    </row>
    <row r="15" spans="1:14" x14ac:dyDescent="0.25">
      <c r="A15">
        <v>1</v>
      </c>
      <c r="B15" s="6">
        <f>((H15/$H$14)^0.5)*$B$14</f>
        <v>12.162236636408618</v>
      </c>
      <c r="C15" s="4">
        <f>((H15/$H$14)^0.5)*$C$14</f>
        <v>39032.294321497429</v>
      </c>
      <c r="D15" s="1">
        <f>4*D14</f>
        <v>200</v>
      </c>
      <c r="E15" s="5">
        <f>D15/(B15*9.80655)</f>
        <v>1.6768734925661277</v>
      </c>
      <c r="F15">
        <v>1.25</v>
      </c>
      <c r="G15">
        <v>0.6</v>
      </c>
      <c r="H15" s="6">
        <f t="shared" ref="H15:H16" si="6">3.14285*((F15/2)^2)*G15</f>
        <v>0.73660546874999999</v>
      </c>
      <c r="I15" s="4">
        <f t="shared" ref="I15:I16" si="7">54000*(D15/1100)</f>
        <v>9818.181818181818</v>
      </c>
      <c r="J15" s="4">
        <f t="shared" si="5"/>
        <v>147.32109374999999</v>
      </c>
      <c r="L15" s="7">
        <v>1.25</v>
      </c>
      <c r="M15" s="7">
        <v>250</v>
      </c>
      <c r="N15" s="8">
        <f t="shared" ref="N15:N16" si="8">M15/(L15*9.80655)</f>
        <v>20.394532225910233</v>
      </c>
    </row>
    <row r="16" spans="1:14" x14ac:dyDescent="0.25">
      <c r="A16">
        <v>2</v>
      </c>
      <c r="B16" s="6">
        <f>((H16/$H$14)^0.5)*$B$14</f>
        <v>32.935492506818036</v>
      </c>
      <c r="C16" s="4">
        <f>((H16/$H$14)^0.5)*$C$14</f>
        <v>105699.95269629973</v>
      </c>
      <c r="D16" s="1">
        <f>((2.5/0.625)^2)*D14</f>
        <v>800</v>
      </c>
      <c r="E16" s="5">
        <f>D16/(B16*9.80655)</f>
        <v>2.4769063006042282</v>
      </c>
      <c r="F16">
        <v>2.5</v>
      </c>
      <c r="G16">
        <v>1.1000000000000001</v>
      </c>
      <c r="H16" s="6">
        <f t="shared" si="6"/>
        <v>5.4017734375000011</v>
      </c>
      <c r="I16" s="4">
        <f t="shared" si="7"/>
        <v>39272.727272727272</v>
      </c>
      <c r="J16" s="4">
        <f t="shared" si="5"/>
        <v>1080.3546875000002</v>
      </c>
      <c r="L16" s="7">
        <v>6.25</v>
      </c>
      <c r="M16" s="7">
        <v>1250</v>
      </c>
      <c r="N16" s="8">
        <f t="shared" si="8"/>
        <v>20.394532225910233</v>
      </c>
    </row>
    <row r="17" spans="1:3" x14ac:dyDescent="0.25">
      <c r="A17" s="2" t="s">
        <v>14</v>
      </c>
      <c r="C17" s="4">
        <f>C16*3</f>
        <v>317099.85808889917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</dc:creator>
  <cp:lastModifiedBy>Jade</cp:lastModifiedBy>
  <dcterms:created xsi:type="dcterms:W3CDTF">2026-06-19T21:49:29Z</dcterms:created>
  <dcterms:modified xsi:type="dcterms:W3CDTF">2026-06-19T23:12:20Z</dcterms:modified>
</cp:coreProperties>
</file>